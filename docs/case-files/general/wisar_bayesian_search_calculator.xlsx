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&amp; POD Calculator" sheetId="1" state="visible" r:id="rId1"/>
    <sheet xmlns:r="http://schemas.openxmlformats.org/officeDocument/2006/relationships" name="Bayesian POA Updating" sheetId="2" state="visible" r:id="rId2"/>
    <sheet xmlns:r="http://schemas.openxmlformats.org/officeDocument/2006/relationships" name="ISRID Distance Quar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"/>
    <numFmt numFmtId="167" formatCode="0.0000"/>
    <numFmt numFmtId="168" formatCode="+0.0%;-0.0%;0.0%"/>
  </numFmts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2" fontId="4" fillId="4" borderId="2" applyAlignment="1" pivotButton="0" quotePrefix="0" xfId="0">
      <alignment horizontal="right" vertical="center"/>
    </xf>
    <xf numFmtId="2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2" fontId="5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4" fillId="0" borderId="2" pivotButton="0" quotePrefix="0" xfId="0"/>
    <xf numFmtId="164" fontId="4" fillId="4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167" fontId="5" fillId="5" borderId="2" applyAlignment="1" pivotButton="0" quotePrefix="0" xfId="0">
      <alignment horizontal="right" vertical="center"/>
    </xf>
    <xf numFmtId="168" fontId="5" fillId="5" borderId="2" applyAlignment="1" pivotButton="0" quotePrefix="0" xfId="0">
      <alignment horizontal="right" vertical="center"/>
    </xf>
    <xf numFmtId="168" fontId="5" fillId="0" borderId="3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0" pivotButton="0" quotePrefix="0" xfId="0"/>
    <xf numFmtId="166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3" customWidth="1" min="2" max="2"/>
    <col width="28" customWidth="1" min="3" max="3"/>
    <col width="31" customWidth="1" min="4" max="4"/>
    <col width="27" customWidth="1" min="5" max="5"/>
    <col width="25" customWidth="1" min="6" max="6"/>
    <col width="34" customWidth="1" min="7" max="7"/>
  </cols>
  <sheetData>
    <row r="1">
      <c r="A1" s="1" t="inlineStr">
        <is>
          <t>WILDERNESS SEARCH &amp; RESCUE: COVERAGE &amp; POD CALCULATOR</t>
        </is>
      </c>
    </row>
    <row r="2">
      <c r="A2" s="2" t="inlineStr">
        <is>
          <t>Generated: 2026-09-27 | WiSAR Operations Decision Support Tool v1.0</t>
        </is>
      </c>
    </row>
    <row r="3"/>
    <row r="4">
      <c r="A4" s="3" t="inlineStr">
        <is>
          <t>1. FIELD SWEEP &amp; SEARCH EFFORT CALCULATIONS</t>
        </is>
      </c>
    </row>
    <row r="5">
      <c r="A5" s="4" t="inlineStr">
        <is>
          <t>Segment Name</t>
        </is>
      </c>
      <c r="B5" s="4" t="inlineStr">
        <is>
          <t>Segment Area A (km2)</t>
        </is>
      </c>
      <c r="C5" s="4" t="inlineStr">
        <is>
          <t>Total Track Line TTL (km)</t>
        </is>
      </c>
      <c r="D5" s="4" t="inlineStr">
        <is>
          <t>Effective Sweep Width W (km)</t>
        </is>
      </c>
      <c r="E5" s="4" t="inlineStr">
        <is>
          <t>Swept Area Z (km2)</t>
        </is>
      </c>
      <c r="F5" s="4" t="inlineStr">
        <is>
          <t>Coverage Ratio C (Z/A)</t>
        </is>
      </c>
      <c r="G5" s="4" t="inlineStr">
        <is>
          <t>Prob. of Detection POD (1-e^-C)</t>
        </is>
      </c>
    </row>
    <row r="6">
      <c r="A6" s="5" t="inlineStr">
        <is>
          <t>Segment A - North Ridge</t>
        </is>
      </c>
      <c r="B6" s="6" t="n">
        <v>2.5</v>
      </c>
      <c r="C6" s="6" t="n">
        <v>12</v>
      </c>
      <c r="D6" s="6" t="n">
        <v>0.15</v>
      </c>
      <c r="E6" s="7">
        <f>C6*D6</f>
        <v/>
      </c>
      <c r="F6" s="7">
        <f>IFERROR(E6/B6, 0)</f>
        <v/>
      </c>
      <c r="G6" s="8">
        <f>IFERROR(1-EXP(-F6), 0)</f>
        <v/>
      </c>
    </row>
    <row r="7">
      <c r="A7" s="5" t="inlineStr">
        <is>
          <t>Segment B - Drainage Basin</t>
        </is>
      </c>
      <c r="B7" s="6" t="n">
        <v>1.2</v>
      </c>
      <c r="C7" s="6" t="n">
        <v>18</v>
      </c>
      <c r="D7" s="6" t="n">
        <v>0.08</v>
      </c>
      <c r="E7" s="7">
        <f>C7*D7</f>
        <v/>
      </c>
      <c r="F7" s="7">
        <f>IFERROR(E7/B7, 0)</f>
        <v/>
      </c>
      <c r="G7" s="8">
        <f>IFERROR(1-EXP(-F7), 0)</f>
        <v/>
      </c>
    </row>
    <row r="8">
      <c r="A8" s="5" t="inlineStr">
        <is>
          <t>Segment C - Valley Trail System</t>
        </is>
      </c>
      <c r="B8" s="6" t="n">
        <v>0.8</v>
      </c>
      <c r="C8" s="6" t="n">
        <v>10</v>
      </c>
      <c r="D8" s="6" t="n">
        <v>0.12</v>
      </c>
      <c r="E8" s="7">
        <f>C8*D8</f>
        <v/>
      </c>
      <c r="F8" s="7">
        <f>IFERROR(E8/B8, 0)</f>
        <v/>
      </c>
      <c r="G8" s="8">
        <f>IFERROR(1-EXP(-F8), 0)</f>
        <v/>
      </c>
    </row>
    <row r="9">
      <c r="A9" s="5" t="inlineStr">
        <is>
          <t>Segment D - East Slope Dense Forest</t>
        </is>
      </c>
      <c r="B9" s="6" t="n">
        <v>3</v>
      </c>
      <c r="C9" s="6" t="n">
        <v>15</v>
      </c>
      <c r="D9" s="6" t="n">
        <v>0.05</v>
      </c>
      <c r="E9" s="7">
        <f>C9*D9</f>
        <v/>
      </c>
      <c r="F9" s="7">
        <f>IFERROR(E9/B9, 0)</f>
        <v/>
      </c>
      <c r="G9" s="8">
        <f>IFERROR(1-EXP(-F9), 0)</f>
        <v/>
      </c>
    </row>
    <row r="10">
      <c r="A10" s="5" t="inlineStr">
        <is>
          <t>Segment E - South Meadow</t>
        </is>
      </c>
      <c r="B10" s="6" t="n">
        <v>1.5</v>
      </c>
      <c r="C10" s="6" t="n">
        <v>8</v>
      </c>
      <c r="D10" s="6" t="n">
        <v>0.2</v>
      </c>
      <c r="E10" s="7">
        <f>C10*D10</f>
        <v/>
      </c>
      <c r="F10" s="7">
        <f>IFERROR(E10/B10, 0)</f>
        <v/>
      </c>
      <c r="G10" s="8">
        <f>IFERROR(1-EXP(-F10), 0)</f>
        <v/>
      </c>
    </row>
    <row r="11">
      <c r="A11" s="9" t="inlineStr">
        <is>
          <t>TOTAL SEARCH AREA</t>
        </is>
      </c>
      <c r="B11" s="10">
        <f>SUM(B6:B10)</f>
        <v/>
      </c>
      <c r="C11" s="10">
        <f>SUM(C6:C10)</f>
        <v/>
      </c>
      <c r="D11" s="11" t="inlineStr">
        <is>
          <t>-</t>
        </is>
      </c>
      <c r="E11" s="10">
        <f>SUM(E6:E10)</f>
        <v/>
      </c>
      <c r="F11" s="10">
        <f>IFERROR(E11/B11, 0)</f>
        <v/>
      </c>
      <c r="G11" s="12">
        <f>IFERROR(1-EXP(-F11), 0)</f>
        <v/>
      </c>
    </row>
    <row r="12"/>
    <row r="13">
      <c r="A13" s="3" t="inlineStr">
        <is>
          <t>2. PROBABILITY OF SUCCESS RATE (PSR) TASKING RANKING</t>
        </is>
      </c>
    </row>
    <row r="14">
      <c r="A14" s="4" t="inlineStr">
        <is>
          <t>Segment Name</t>
        </is>
      </c>
      <c r="B14" s="4" t="inlineStr">
        <is>
          <t>Prior POA</t>
        </is>
      </c>
      <c r="C14" s="4" t="inlineStr">
        <is>
          <t>Area A (km2)</t>
        </is>
      </c>
      <c r="D14" s="4" t="inlineStr">
        <is>
          <t>Prob. Density Pden (POA/A)</t>
        </is>
      </c>
      <c r="E14" s="4" t="inlineStr">
        <is>
          <t>Search Velocity V (km/h)</t>
        </is>
      </c>
      <c r="F14" s="4" t="inlineStr">
        <is>
          <t>Sweep Width W (km)</t>
        </is>
      </c>
      <c r="G14" s="4" t="inlineStr">
        <is>
          <t>PSR (W * V * Pden)</t>
        </is>
      </c>
    </row>
    <row r="15">
      <c r="A15" s="13" t="inlineStr">
        <is>
          <t>Segment A - North Ridge</t>
        </is>
      </c>
      <c r="B15" s="14" t="n">
        <v>0.35</v>
      </c>
      <c r="C15" s="6" t="n">
        <v>2.5</v>
      </c>
      <c r="D15" s="15">
        <f>IFERROR(B15/C15, 0)</f>
        <v/>
      </c>
      <c r="E15" s="16" t="n">
        <v>1.5</v>
      </c>
      <c r="F15" s="6" t="n">
        <v>0.15</v>
      </c>
      <c r="G15" s="17">
        <f>F15*E15*D15</f>
        <v/>
      </c>
    </row>
    <row r="16">
      <c r="A16" s="13" t="inlineStr">
        <is>
          <t>Segment B - Drainage Basin</t>
        </is>
      </c>
      <c r="B16" s="14" t="n">
        <v>0.25</v>
      </c>
      <c r="C16" s="6" t="n">
        <v>1.2</v>
      </c>
      <c r="D16" s="15">
        <f>IFERROR(B16/C16, 0)</f>
        <v/>
      </c>
      <c r="E16" s="16" t="n">
        <v>1.2</v>
      </c>
      <c r="F16" s="6" t="n">
        <v>0.08</v>
      </c>
      <c r="G16" s="17">
        <f>F16*E16*D16</f>
        <v/>
      </c>
    </row>
    <row r="17">
      <c r="A17" s="13" t="inlineStr">
        <is>
          <t>Segment C - Valley Trail System</t>
        </is>
      </c>
      <c r="B17" s="14" t="n">
        <v>0.2</v>
      </c>
      <c r="C17" s="6" t="n">
        <v>0.8</v>
      </c>
      <c r="D17" s="15">
        <f>IFERROR(B17/C17, 0)</f>
        <v/>
      </c>
      <c r="E17" s="16" t="n">
        <v>2</v>
      </c>
      <c r="F17" s="6" t="n">
        <v>0.12</v>
      </c>
      <c r="G17" s="17">
        <f>F17*E17*D17</f>
        <v/>
      </c>
    </row>
    <row r="18">
      <c r="A18" s="13" t="inlineStr">
        <is>
          <t>Segment D - East Slope Dense Forest</t>
        </is>
      </c>
      <c r="B18" s="14" t="n">
        <v>0.1</v>
      </c>
      <c r="C18" s="6" t="n">
        <v>3</v>
      </c>
      <c r="D18" s="15">
        <f>IFERROR(B18/C18, 0)</f>
        <v/>
      </c>
      <c r="E18" s="16" t="n">
        <v>1</v>
      </c>
      <c r="F18" s="6" t="n">
        <v>0.05</v>
      </c>
      <c r="G18" s="17">
        <f>F18*E18*D18</f>
        <v/>
      </c>
    </row>
    <row r="19">
      <c r="A19" s="13" t="inlineStr">
        <is>
          <t>Segment E - South Meadow</t>
        </is>
      </c>
      <c r="B19" s="14" t="n">
        <v>0.1</v>
      </c>
      <c r="C19" s="6" t="n">
        <v>1.5</v>
      </c>
      <c r="D19" s="15">
        <f>IFERROR(B19/C19, 0)</f>
        <v/>
      </c>
      <c r="E19" s="16" t="n">
        <v>1.8</v>
      </c>
      <c r="F19" s="6" t="n">
        <v>0.2</v>
      </c>
      <c r="G19" s="17">
        <f>F19*E19*D19</f>
        <v/>
      </c>
    </row>
  </sheetData>
  <mergeCells count="3">
    <mergeCell ref="A13:G13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22" customWidth="1" min="2" max="2"/>
    <col width="15" customWidth="1" min="3" max="3"/>
    <col width="27" customWidth="1" min="4" max="4"/>
    <col width="35" customWidth="1" min="5" max="5"/>
    <col width="27" customWidth="1" min="6" max="6"/>
    <col width="18" customWidth="1" min="7" max="7"/>
  </cols>
  <sheetData>
    <row r="1">
      <c r="A1" s="1" t="inlineStr">
        <is>
          <t>BAYESIAN PROBABILITY OF AREA (POA) UPDATING MODEL</t>
        </is>
      </c>
    </row>
    <row r="2">
      <c r="A2" s="2" t="inlineStr">
        <is>
          <t>Shift probability after unsuccessful operational sweeps: POA_new = POA_old * (1 - POD) / Sum(unsearched)</t>
        </is>
      </c>
    </row>
    <row r="3"/>
    <row r="4">
      <c r="A4" s="3" t="inlineStr">
        <is>
          <t>OPERATIONAL SEGMENT BAYESIAN RE-NORMALIZATION TABLE</t>
        </is>
      </c>
    </row>
    <row r="5">
      <c r="A5" s="4" t="inlineStr">
        <is>
          <t>Segment Name</t>
        </is>
      </c>
      <c r="B5" s="4" t="inlineStr">
        <is>
          <t>Initial POA (Prior)</t>
        </is>
      </c>
      <c r="C5" s="4" t="inlineStr">
        <is>
          <t>Achieved POD</t>
        </is>
      </c>
      <c r="D5" s="4" t="inlineStr">
        <is>
          <t>POS Achieved (POA * POD)</t>
        </is>
      </c>
      <c r="E5" s="4" t="inlineStr">
        <is>
          <t>Unsearched Prob. (POA * [1-POD])</t>
        </is>
      </c>
      <c r="F5" s="4" t="inlineStr">
        <is>
          <t>Updated POA (Normalized)</t>
        </is>
      </c>
      <c r="G5" s="4" t="inlineStr">
        <is>
          <t>POA Shift Delta</t>
        </is>
      </c>
    </row>
    <row r="6">
      <c r="A6" s="13" t="inlineStr">
        <is>
          <t>Segment A - North Ridge</t>
        </is>
      </c>
      <c r="B6" s="14" t="n">
        <v>0.35</v>
      </c>
      <c r="C6" s="14" t="n">
        <v>0.6</v>
      </c>
      <c r="D6" s="8">
        <f>B6*C6</f>
        <v/>
      </c>
      <c r="E6" s="8">
        <f>B6*(1-C6)</f>
        <v/>
      </c>
      <c r="F6" s="8">
        <f>IFERROR(E6/$E$11, 0)</f>
        <v/>
      </c>
      <c r="G6" s="18">
        <f>F6-B6</f>
        <v/>
      </c>
    </row>
    <row r="7">
      <c r="A7" s="13" t="inlineStr">
        <is>
          <t>Segment B - Drainage Basin</t>
        </is>
      </c>
      <c r="B7" s="14" t="n">
        <v>0.25</v>
      </c>
      <c r="C7" s="14" t="n">
        <v>0.4</v>
      </c>
      <c r="D7" s="8">
        <f>B7*C7</f>
        <v/>
      </c>
      <c r="E7" s="8">
        <f>B7*(1-C7)</f>
        <v/>
      </c>
      <c r="F7" s="8">
        <f>IFERROR(E7/$E$11, 0)</f>
        <v/>
      </c>
      <c r="G7" s="18">
        <f>F7-B7</f>
        <v/>
      </c>
    </row>
    <row r="8">
      <c r="A8" s="13" t="inlineStr">
        <is>
          <t>Segment C - Valley Trail System</t>
        </is>
      </c>
      <c r="B8" s="14" t="n">
        <v>0.2</v>
      </c>
      <c r="C8" s="14" t="n">
        <v>0.7</v>
      </c>
      <c r="D8" s="8">
        <f>B8*C8</f>
        <v/>
      </c>
      <c r="E8" s="8">
        <f>B8*(1-C8)</f>
        <v/>
      </c>
      <c r="F8" s="8">
        <f>IFERROR(E8/$E$11, 0)</f>
        <v/>
      </c>
      <c r="G8" s="18">
        <f>F8-B8</f>
        <v/>
      </c>
    </row>
    <row r="9">
      <c r="A9" s="13" t="inlineStr">
        <is>
          <t>Segment D - East Slope Dense Forest</t>
        </is>
      </c>
      <c r="B9" s="14" t="n">
        <v>0.1</v>
      </c>
      <c r="C9" s="14" t="n">
        <v>0</v>
      </c>
      <c r="D9" s="8">
        <f>B9*C9</f>
        <v/>
      </c>
      <c r="E9" s="8">
        <f>B9*(1-C9)</f>
        <v/>
      </c>
      <c r="F9" s="8">
        <f>IFERROR(E9/$E$11, 0)</f>
        <v/>
      </c>
      <c r="G9" s="18">
        <f>F9-B9</f>
        <v/>
      </c>
    </row>
    <row r="10">
      <c r="A10" s="13" t="inlineStr">
        <is>
          <t>Segment E - South Meadow</t>
        </is>
      </c>
      <c r="B10" s="14" t="n">
        <v>0.1</v>
      </c>
      <c r="C10" s="14" t="n">
        <v>0</v>
      </c>
      <c r="D10" s="8">
        <f>B10*C10</f>
        <v/>
      </c>
      <c r="E10" s="8">
        <f>B10*(1-C10)</f>
        <v/>
      </c>
      <c r="F10" s="8">
        <f>IFERROR(E10/$E$11, 0)</f>
        <v/>
      </c>
      <c r="G10" s="18">
        <f>F10-B10</f>
        <v/>
      </c>
    </row>
    <row r="11">
      <c r="A11" s="9" t="inlineStr">
        <is>
          <t>TOTALS &amp; INTEGRITY CHECK</t>
        </is>
      </c>
      <c r="B11" s="12">
        <f>SUM(B6:B10)</f>
        <v/>
      </c>
      <c r="C11" s="11" t="inlineStr">
        <is>
          <t>-</t>
        </is>
      </c>
      <c r="D11" s="12">
        <f>SUM(D6:D10)</f>
        <v/>
      </c>
      <c r="E11" s="12">
        <f>SUM(E6:E10)</f>
        <v/>
      </c>
      <c r="F11" s="12">
        <f>SUM(F6:F10)</f>
        <v/>
      </c>
      <c r="G11" s="19">
        <f>SUM(G6:G10)</f>
        <v/>
      </c>
    </row>
  </sheetData>
  <mergeCells count="2"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0" customWidth="1" min="2" max="2"/>
    <col width="18" customWidth="1" min="3" max="3"/>
    <col width="20" customWidth="1" min="4" max="4"/>
    <col width="20" customWidth="1" min="5" max="5"/>
    <col width="65" customWidth="1" min="6" max="6"/>
  </cols>
  <sheetData>
    <row r="1">
      <c r="A1" s="20" t="inlineStr">
        <is>
          <t>INTERNATIONAL SEARCH &amp; RESCUE INCIDENT DATABASE (ISRID) STATISTICAL PROFILES</t>
        </is>
      </c>
    </row>
    <row r="2">
      <c r="A2" s="2" t="inlineStr">
        <is>
          <t>Empirical Crow's-Flight Distance Quartiles from Initial Planning Point (IPP)</t>
        </is>
      </c>
    </row>
    <row r="3"/>
    <row r="4">
      <c r="A4" s="21" t="inlineStr">
        <is>
          <t>SUBJECT CATEGORY DISTANCE RANGES (KILOMETERS)</t>
        </is>
      </c>
    </row>
    <row r="5">
      <c r="A5" s="4" t="inlineStr">
        <is>
          <t>Subject Category</t>
        </is>
      </c>
      <c r="B5" s="4" t="inlineStr">
        <is>
          <t>25% Quartile (km)</t>
        </is>
      </c>
      <c r="C5" s="4" t="inlineStr">
        <is>
          <t>50% Median (km)</t>
        </is>
      </c>
      <c r="D5" s="4" t="inlineStr">
        <is>
          <t>75% Quartile (km)</t>
        </is>
      </c>
      <c r="E5" s="4" t="inlineStr">
        <is>
          <t>95% Quartile (km)</t>
        </is>
      </c>
      <c r="F5" s="4" t="inlineStr">
        <is>
          <t>Key Behavioral Patterns &amp; Search Strategy</t>
        </is>
      </c>
    </row>
    <row r="6">
      <c r="A6" s="5" t="inlineStr">
        <is>
          <t>Dementia / Alzheimer's</t>
        </is>
      </c>
      <c r="B6" s="22" t="n">
        <v>0.2</v>
      </c>
      <c r="C6" s="22" t="n">
        <v>0.8</v>
      </c>
      <c r="D6" s="22" t="n">
        <v>2</v>
      </c>
      <c r="E6" s="22" t="n">
        <v>5</v>
      </c>
      <c r="F6" s="5" t="inlineStr">
        <is>
          <t>Walks straight ahead until stuck; 28% in drainages/creeks, 25-33% trapped in briars/brush. Rarely responds.</t>
        </is>
      </c>
    </row>
    <row r="7">
      <c r="A7" s="5" t="inlineStr">
        <is>
          <t>Child (Ages 1-3)</t>
        </is>
      </c>
      <c r="B7" s="22" t="n">
        <v>0.1</v>
      </c>
      <c r="C7" s="22" t="n">
        <v>0.3</v>
      </c>
      <c r="D7" s="22" t="n">
        <v>0.6</v>
      </c>
      <c r="E7" s="22" t="n">
        <v>1.2</v>
      </c>
      <c r="F7" s="5" t="inlineStr">
        <is>
          <t>Non-goal oriented movement; seeks small enclosed spaces to sleep (under logs/sheds). High 300m concentration.</t>
        </is>
      </c>
    </row>
    <row r="8">
      <c r="A8" s="5" t="inlineStr">
        <is>
          <t>Child (Ages 4-6)</t>
        </is>
      </c>
      <c r="B8" s="22" t="n">
        <v>0.2</v>
      </c>
      <c r="C8" s="22" t="n">
        <v>0.6</v>
      </c>
      <c r="D8" s="22" t="n">
        <v>1.2</v>
      </c>
      <c r="E8" s="22" t="n">
        <v>2.5</v>
      </c>
      <c r="F8" s="5" t="inlineStr">
        <is>
          <t>Follows paths of least resistance; animal tracks, drainages. Does not retrace steps.</t>
        </is>
      </c>
    </row>
    <row r="9">
      <c r="A9" s="5" t="inlineStr">
        <is>
          <t>Child (Ages 7-12)</t>
        </is>
      </c>
      <c r="B9" s="22" t="n">
        <v>0.4</v>
      </c>
      <c r="C9" s="22" t="n">
        <v>1.2</v>
      </c>
      <c r="D9" s="22" t="n">
        <v>2.8</v>
      </c>
      <c r="E9" s="22" t="n">
        <v>6</v>
      </c>
      <c r="F9" s="5" t="inlineStr">
        <is>
          <t>Shortcut attempts, 'trail running' panic. 50% seek shelter in man-made structures.</t>
        </is>
      </c>
    </row>
    <row r="10">
      <c r="A10" s="5" t="inlineStr">
        <is>
          <t>Hiker / Backcountry</t>
        </is>
      </c>
      <c r="B10" s="22" t="n">
        <v>0.8</v>
      </c>
      <c r="C10" s="22" t="n">
        <v>2.4</v>
      </c>
      <c r="D10" s="22" t="n">
        <v>5.2</v>
      </c>
      <c r="E10" s="22" t="n">
        <v>12</v>
      </c>
      <c r="F10" s="5" t="inlineStr">
        <is>
          <t>Stays on or near trails/drainages. Responsive to sound signals unless injured/despondent.</t>
        </is>
      </c>
    </row>
    <row r="11">
      <c r="A11" s="5" t="inlineStr">
        <is>
          <t>Despondent / Suicidal</t>
        </is>
      </c>
      <c r="B11" s="22" t="n">
        <v>0.2</v>
      </c>
      <c r="C11" s="22" t="n">
        <v>0.6</v>
      </c>
      <c r="D11" s="22" t="n">
        <v>1.8</v>
      </c>
      <c r="E11" s="22" t="n">
        <v>4.5</v>
      </c>
      <c r="F11" s="5" t="inlineStr">
        <is>
          <t>Seeks secluded spots with high coverage; scenic overlooks, dense thickets, personal significance locations.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2026-09-27T19:52:50Z</dcterms:created>
  <dcterms:modified xmlns:dcterms="http://purl.org/dc/terms/" xmlns:xsi="http://www.w3.org/2001/XMLSchema-instance" xsi:type="dcterms:W3CDTF">2026-09-27T19:52:50Z</dcterms:modified>
</cp:coreProperties>
</file>